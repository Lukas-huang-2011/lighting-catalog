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660" windowHeight="11480"/>
  </bookViews>
  <sheets>
    <sheet name="Sheet1" sheetId="1" r:id="rId1"/>
  </sheets>
  <definedNames>
    <definedName name="_xlnm.Print_Area" localSheetId="0">Sheet1!$A$1:$M$15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<sst xmlns="http://schemas.openxmlformats.org/spreadsheetml/2006/main" count="40" uniqueCount="40">
  <si>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订   单   表</t>
  </si>
  <si>
    <t>订单号：</t>
  </si>
  <si>
    <t>2602FF014</t>
  </si>
  <si>
    <t xml:space="preserve"> (转账时请输入该订单号)</t>
  </si>
  <si>
    <t>转账信息：</t>
  </si>
  <si>
    <t>报价时间：</t>
  </si>
  <si>
    <t>客户名称：</t>
  </si>
  <si>
    <t>客户联系人：</t>
  </si>
  <si>
    <t>联系电话：</t>
  </si>
  <si>
    <t>备  注：</t>
  </si>
  <si>
    <t>国内现货：10到15个工作日发货， 
欧洲订货：货期预计2-4个月。</t>
  </si>
  <si>
    <t>序号</t>
  </si>
  <si>
    <t>品牌</t>
  </si>
  <si>
    <t>编号</t>
  </si>
  <si>
    <t>名称</t>
  </si>
  <si>
    <t>图片</t>
  </si>
  <si>
    <t>颜色</t>
  </si>
  <si>
    <t>种类</t>
  </si>
  <si>
    <t>尺寸 (cm)</t>
  </si>
  <si>
    <t>光源参数</t>
  </si>
  <si>
    <t>到货时间</t>
  </si>
  <si>
    <t>零售单价</t>
  </si>
  <si>
    <t>数量</t>
  </si>
  <si>
    <t>合计</t>
  </si>
  <si>
    <t>Vibia</t>
  </si>
  <si>
    <t>550008_16</t>
  </si>
  <si>
    <t>Mayfair,Table,08 Orange,2700K,SENSOR</t>
  </si>
  <si>
    <t>如图</t>
  </si>
  <si>
    <t>台灯</t>
  </si>
  <si>
    <t>内置led光源</t>
  </si>
  <si>
    <t>现货</t>
  </si>
  <si>
    <t>小计</t>
  </si>
  <si>
    <t>其他费用</t>
  </si>
  <si>
    <t>/</t>
  </si>
  <si>
    <t>应付总金额：</t>
  </si>
  <si>
    <t>备注：</t>
  </si>
  <si>
    <t>条款说明：</t>
  </si>
  <si>
    <r>
      <rPr>
        <sz val="12"/>
        <rFont val="微软雅黑"/>
        <charset val="134"/>
      </rPr>
      <t xml:space="preserve">1. 产品由欧洲订货,价格包含国际运费以及关税。
2. 此报价不含增值税。
</t>
    </r>
    <r>
      <rPr>
        <sz val="12"/>
        <color rgb="FFFF0000"/>
        <rFont val="微软雅黑"/>
        <charset val="134"/>
      </rPr>
      <t xml:space="preserve">3. 此报价不含安装费。
4. 此报价不含国内运费，发到付(默认顺丰/跨越到付)。
</t>
    </r>
    <r>
      <rPr>
        <sz val="12"/>
        <color theme="1"/>
        <rFont val="微软雅黑"/>
        <charset val="134"/>
      </rPr>
      <t>5. 报价有效期为1个月，超过1个月下单请务必再次与销售人员确认货期及售价。
6. 以上报价相关的所有信息属我公司所有，未经同意不得将任何信息泄露或转载于第三方机构。</t>
    </r>
  </si>
  <si>
    <t>售后条款：</t>
  </si>
  <si>
    <r>
      <rPr>
        <sz val="12"/>
        <color theme="1"/>
        <rFont val="微软雅黑"/>
        <charset val="134"/>
      </rPr>
      <t>1. 报价相关的产品需由采购方</t>
    </r>
    <r>
      <rPr>
        <sz val="12"/>
        <color rgb="FFFF0000"/>
        <rFont val="微软雅黑"/>
        <charset val="134"/>
      </rPr>
      <t>当面开箱验收</t>
    </r>
    <r>
      <rPr>
        <sz val="12"/>
        <color theme="1"/>
        <rFont val="微软雅黑"/>
        <charset val="134"/>
      </rPr>
      <t>，未能及时当面开箱验收，本公司将不承担任何因物流运输造成的任何损失；签收后，本公司将默认产品完好无损。
2. 若发现商品运输中存在损坏问题，请勿正常签收，并及时与销售人员联系。
3. 商品的验货周期为收货人签收商品后五天内。若发现商品存在质量问题，请及时销售人员沟通。经确定为产品质量问题后，本公司将为其提供免费更换或维修服务。
4. 若验货回馈期超出五天，视为商品完好收货。
5. 若经不当使用而导致商品破损，本公司将采取有偿形式为经销商提供商品及其零部件的更换和维修服务，具体收费标准视不同情况而定。
6. 所有售后商品，请务必确保原产包装完好。</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</si>
</sst>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5" formatCode="&quot;￥&quot;#,##0;&quot;￥&quot;\-#,##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 #,##0.00_-;_-[$€]\ * \-??_-;_-@_-"/>
    <numFmt numFmtId="177" formatCode="[$¥-804]#,##0.00;[Red][$¥-804]\-#,##0.00"/>
    <numFmt numFmtId="178" formatCode="yyyy/m/d;@"/>
    <numFmt numFmtId="179" formatCode="yyyy/mm/dd;@"/>
    <numFmt numFmtId="180" formatCode="0_);[Red]\(0\)"/>
  </numFmts>
  <fonts count="40">
    <font>
      <sz val="11"/>
      <color theme="1"/>
      <name val="宋体"/>
      <charset val="134"/>
      <scheme val="minor"/>
    </font>
    <font>
      <b/>
      <sz val="12"/>
      <color theme="1"/>
      <name val="微软雅黑"/>
      <charset val="134"/>
    </font>
    <font>
      <sz val="12"/>
      <color theme="1"/>
      <name val="微软雅黑"/>
      <charset val="134"/>
    </font>
    <font>
      <sz val="14"/>
      <color theme="1"/>
      <name val="微软雅黑"/>
      <charset val="134"/>
    </font>
    <font>
      <sz val="10"/>
      <color theme="1"/>
      <name val="微软雅黑"/>
      <charset val="134"/>
    </font>
    <font>
      <b/>
      <sz val="10"/>
      <color theme="1"/>
      <name val="微软雅黑"/>
      <charset val="134"/>
    </font>
    <font>
      <b/>
      <u/>
      <sz val="10"/>
      <color theme="1"/>
      <name val="微软雅黑"/>
      <charset val="134"/>
    </font>
    <font>
      <sz val="12.5"/>
      <color theme="1"/>
      <name val="微软雅黑"/>
      <charset val="134"/>
    </font>
    <font>
      <b/>
      <sz val="22"/>
      <color theme="1"/>
      <name val="微软雅黑"/>
      <charset val="134"/>
    </font>
    <font>
      <b/>
      <sz val="12"/>
      <name val="微软雅黑"/>
      <charset val="134"/>
    </font>
    <font>
      <b/>
      <u/>
      <sz val="12"/>
      <color theme="1"/>
      <name val="微软雅黑"/>
      <charset val="134"/>
    </font>
    <font>
      <sz val="16"/>
      <color indexed="8"/>
      <name val="Heiti SC Light"/>
      <charset val="134"/>
    </font>
    <font>
      <sz val="11"/>
      <color indexed="8"/>
      <name val="微软雅黑"/>
      <charset val="134"/>
    </font>
    <font>
      <u/>
      <sz val="12"/>
      <color theme="1"/>
      <name val="微软雅黑"/>
      <charset val="134"/>
    </font>
    <font>
      <u/>
      <sz val="14"/>
      <color theme="1"/>
      <name val="微软雅黑"/>
      <charset val="134"/>
    </font>
    <font>
      <b/>
      <sz val="14"/>
      <color theme="1"/>
      <name val="微软雅黑"/>
      <charset val="134"/>
    </font>
    <font>
      <b/>
      <sz val="13"/>
      <color theme="1"/>
      <name val="微软雅黑"/>
      <charset val="134"/>
    </font>
    <font>
      <sz val="12"/>
      <name val="微软雅黑"/>
      <charset val="134"/>
    </font>
    <font>
      <u/>
      <sz val="10"/>
      <color theme="1"/>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方正姚体"/>
      <charset val="134"/>
    </font>
    <font>
      <sz val="12"/>
      <color rgb="FFFF000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3" borderId="1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5" applyNumberFormat="0" applyFill="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6" fillId="0" borderId="0" applyNumberFormat="0" applyFill="0" applyBorder="0" applyAlignment="0" applyProtection="0">
      <alignment vertical="center"/>
    </xf>
    <xf numFmtId="0" fontId="27" fillId="4" borderId="17" applyNumberFormat="0" applyAlignment="0" applyProtection="0">
      <alignment vertical="center"/>
    </xf>
    <xf numFmtId="0" fontId="28" fillId="5" borderId="18" applyNumberFormat="0" applyAlignment="0" applyProtection="0">
      <alignment vertical="center"/>
    </xf>
    <xf numFmtId="0" fontId="29" fillId="5" borderId="17" applyNumberFormat="0" applyAlignment="0" applyProtection="0">
      <alignment vertical="center"/>
    </xf>
    <xf numFmtId="0" fontId="30" fillId="6" borderId="19" applyNumberFormat="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176" fontId="38" fillId="0" borderId="0">
      <alignment vertical="center"/>
    </xf>
    <xf numFmtId="0" fontId="38" fillId="0" borderId="0">
      <alignment vertical="center"/>
    </xf>
    <xf numFmtId="0" fontId="38" fillId="0" borderId="0">
      <alignment vertical="center"/>
    </xf>
  </cellStyleXfs>
  <cellXfs count="65">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Alignment="1">
      <alignment horizontal="center" vertical="center" wrapText="1"/>
    </xf>
    <xf numFmtId="177" fontId="5" fillId="0" borderId="0" xfId="0" applyNumberFormat="1" applyFont="1" applyFill="1" applyAlignment="1">
      <alignment horizontal="center"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7" fillId="0" borderId="0" xfId="0" applyFont="1" applyFill="1" applyAlignment="1">
      <alignment horizontal="left" vertical="center" wrapText="1"/>
    </xf>
    <xf numFmtId="0" fontId="8" fillId="0" borderId="1" xfId="0" applyFont="1" applyFill="1" applyBorder="1" applyAlignment="1">
      <alignment horizontal="center" vertical="center" wrapText="1"/>
    </xf>
    <xf numFmtId="0" fontId="8" fillId="0" borderId="0" xfId="0" applyFont="1" applyFill="1" applyAlignment="1">
      <alignment horizontal="center" vertical="center" wrapText="1"/>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10" fillId="0" borderId="0" xfId="0" applyFont="1" applyFill="1" applyAlignment="1">
      <alignment horizontal="center" vertical="center" wrapText="1"/>
    </xf>
    <xf numFmtId="0" fontId="1" fillId="0" borderId="3" xfId="0" applyFont="1" applyFill="1" applyBorder="1" applyAlignment="1">
      <alignment horizontal="left" vertical="center" wrapText="1"/>
    </xf>
    <xf numFmtId="0" fontId="1" fillId="0" borderId="7" xfId="0" applyFont="1" applyFill="1" applyBorder="1" applyAlignment="1">
      <alignment horizontal="left" vertical="center" wrapText="1"/>
    </xf>
    <xf numFmtId="178" fontId="2" fillId="0" borderId="3" xfId="0" applyNumberFormat="1" applyFont="1" applyFill="1" applyBorder="1" applyAlignment="1">
      <alignment horizontal="left" vertical="center" wrapText="1"/>
    </xf>
    <xf numFmtId="178" fontId="2" fillId="0" borderId="8" xfId="0" applyNumberFormat="1" applyFont="1" applyFill="1" applyBorder="1" applyAlignment="1">
      <alignment horizontal="left" vertical="center" wrapText="1"/>
    </xf>
    <xf numFmtId="178" fontId="2" fillId="0" borderId="7" xfId="0" applyNumberFormat="1" applyFont="1" applyFill="1" applyBorder="1" applyAlignment="1">
      <alignment horizontal="left" vertical="center" wrapText="1"/>
    </xf>
    <xf numFmtId="0" fontId="1" fillId="0" borderId="9" xfId="0" applyFont="1" applyFill="1" applyBorder="1" applyAlignment="1">
      <alignment vertical="center" wrapText="1"/>
    </xf>
    <xf numFmtId="0" fontId="2" fillId="0" borderId="10" xfId="0" applyFont="1" applyFill="1" applyBorder="1" applyAlignment="1">
      <alignment horizontal="center" vertical="center" wrapText="1"/>
    </xf>
    <xf numFmtId="0" fontId="1" fillId="0" borderId="3" xfId="0" applyFont="1" applyFill="1" applyBorder="1" applyAlignment="1">
      <alignment vertical="center" wrapText="1"/>
    </xf>
    <xf numFmtId="0" fontId="1" fillId="0" borderId="7" xfId="0" applyFont="1" applyFill="1" applyBorder="1" applyAlignment="1">
      <alignment vertical="center" wrapText="1"/>
    </xf>
    <xf numFmtId="179" fontId="2" fillId="0" borderId="3" xfId="0" applyNumberFormat="1" applyFont="1" applyFill="1" applyBorder="1" applyAlignment="1">
      <alignment horizontal="left" vertical="center" wrapText="1"/>
    </xf>
    <xf numFmtId="179" fontId="2" fillId="0" borderId="8" xfId="0" applyNumberFormat="1" applyFont="1" applyFill="1" applyBorder="1" applyAlignment="1">
      <alignment horizontal="left" vertical="center" wrapText="1"/>
    </xf>
    <xf numFmtId="179" fontId="2" fillId="0" borderId="7" xfId="0" applyNumberFormat="1"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7" xfId="0" applyFont="1" applyFill="1" applyBorder="1" applyAlignment="1">
      <alignment horizontal="left" vertical="center" wrapText="1"/>
    </xf>
    <xf numFmtId="0" fontId="1" fillId="0" borderId="1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left" vertical="center" wrapText="1"/>
    </xf>
    <xf numFmtId="0" fontId="2" fillId="0" borderId="13" xfId="0" applyFont="1" applyFill="1" applyBorder="1" applyAlignment="1">
      <alignment horizontal="center" vertical="center" wrapText="1"/>
    </xf>
    <xf numFmtId="0" fontId="1" fillId="0" borderId="2" xfId="0" applyFont="1" applyFill="1" applyBorder="1" applyAlignment="1">
      <alignment horizontal="center" vertical="center" wrapText="1"/>
    </xf>
    <xf numFmtId="180" fontId="1" fillId="0" borderId="2"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49" fontId="11" fillId="2" borderId="2" xfId="0" applyNumberFormat="1" applyFont="1" applyFill="1" applyBorder="1" applyAlignment="1">
      <alignment horizontal="center" vertical="center" wrapText="1"/>
    </xf>
    <xf numFmtId="0" fontId="11" fillId="2" borderId="2" xfId="0" applyFont="1" applyFill="1" applyBorder="1" applyAlignment="1">
      <alignment horizontal="center" vertical="center" wrapText="1"/>
    </xf>
    <xf numFmtId="49" fontId="11" fillId="0"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12" fillId="0" borderId="2" xfId="0" applyNumberFormat="1" applyFont="1" applyFill="1" applyBorder="1" applyAlignment="1">
      <alignment horizontal="center" vertical="center"/>
    </xf>
    <xf numFmtId="5" fontId="2" fillId="0" borderId="2" xfId="0" applyNumberFormat="1" applyFont="1" applyFill="1" applyBorder="1" applyAlignment="1">
      <alignment horizontal="center" vertical="center" wrapText="1"/>
    </xf>
    <xf numFmtId="0" fontId="2" fillId="0" borderId="2" xfId="0" applyFont="1" applyFill="1" applyBorder="1" applyAlignment="1">
      <alignment horizontal="right" vertical="center" wrapText="1"/>
    </xf>
    <xf numFmtId="177" fontId="2" fillId="0" borderId="2" xfId="0" applyNumberFormat="1" applyFont="1" applyFill="1" applyBorder="1" applyAlignment="1">
      <alignment horizontal="center" vertical="center" wrapText="1"/>
    </xf>
    <xf numFmtId="0" fontId="13" fillId="0" borderId="0" xfId="6" applyFont="1" applyFill="1" applyAlignment="1">
      <alignment horizontal="center" vertical="center" wrapText="1"/>
    </xf>
    <xf numFmtId="177" fontId="2" fillId="0" borderId="0" xfId="0" applyNumberFormat="1" applyFont="1" applyFill="1" applyAlignment="1">
      <alignment horizontal="center" vertical="center" wrapText="1"/>
    </xf>
    <xf numFmtId="0" fontId="13" fillId="0" borderId="0" xfId="0" applyFont="1" applyFill="1" applyAlignment="1">
      <alignment horizontal="center" vertical="center" wrapText="1"/>
    </xf>
    <xf numFmtId="0" fontId="3" fillId="0" borderId="3" xfId="0" applyFont="1" applyFill="1" applyBorder="1" applyAlignment="1">
      <alignment horizontal="right" vertical="center" wrapText="1"/>
    </xf>
    <xf numFmtId="0" fontId="3" fillId="0" borderId="8" xfId="0" applyFont="1" applyFill="1" applyBorder="1" applyAlignment="1">
      <alignment horizontal="right" vertical="center" wrapText="1"/>
    </xf>
    <xf numFmtId="0" fontId="3" fillId="0" borderId="7" xfId="0" applyFont="1" applyFill="1" applyBorder="1" applyAlignment="1">
      <alignment horizontal="right" vertical="center" wrapText="1"/>
    </xf>
    <xf numFmtId="177" fontId="3" fillId="0" borderId="2" xfId="0" applyNumberFormat="1" applyFont="1" applyFill="1" applyBorder="1" applyAlignment="1">
      <alignment horizontal="center" vertical="center" wrapText="1"/>
    </xf>
    <xf numFmtId="0" fontId="14" fillId="0" borderId="0" xfId="0" applyFont="1" applyFill="1" applyAlignment="1">
      <alignment horizontal="center" vertical="center" wrapText="1"/>
    </xf>
    <xf numFmtId="0" fontId="15" fillId="0" borderId="3"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17" fillId="0" borderId="2" xfId="0" applyFont="1" applyFill="1" applyBorder="1" applyAlignment="1">
      <alignment horizontal="left" vertical="center" wrapText="1"/>
    </xf>
    <xf numFmtId="0" fontId="18" fillId="0" borderId="0" xfId="0" applyFont="1" applyFill="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8 2" xfId="49"/>
    <cellStyle name="常规 2" xfId="50"/>
    <cellStyle name="常规 2 8"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8</xdr:row>
      <xdr:rowOff>0</xdr:rowOff>
    </xdr:from>
    <xdr:to>
      <xdr:col>4</xdr:col>
      <xdr:colOff>152400</xdr:colOff>
      <xdr:row>8</xdr:row>
      <xdr:rowOff>152400</xdr:rowOff>
    </xdr:to>
    <xdr:pic>
      <xdr:nvPicPr>
        <xdr:cNvPr id="5" name="图片 4" descr="Flos Frisbi 吊燈"/>
        <xdr:cNvPicPr>
          <a:picLocks noChangeAspect="1"/>
        </xdr:cNvPicPr>
      </xdr:nvPicPr>
      <xdr:blipFill>
        <a:stretch>
          <a:fillRect/>
        </a:stretch>
      </xdr:blipFill>
      <xdr:spPr>
        <a:xfrm>
          <a:off x="3888740" y="5015865"/>
          <a:ext cx="152400" cy="152400"/>
        </a:xfrm>
        <a:prstGeom prst="rect">
          <a:avLst/>
        </a:prstGeom>
        <a:noFill/>
        <a:ln>
          <a:noFill/>
        </a:ln>
      </xdr:spPr>
    </xdr:pic>
    <xdr:clientData/>
  </xdr:twoCellAnchor>
  <xdr:twoCellAnchor editAs="oneCell">
    <xdr:from>
      <xdr:col>4</xdr:col>
      <xdr:colOff>334645</xdr:colOff>
      <xdr:row>8</xdr:row>
      <xdr:rowOff>27940</xdr:rowOff>
    </xdr:from>
    <xdr:to>
      <xdr:col>4</xdr:col>
      <xdr:colOff>1654810</xdr:colOff>
      <xdr:row>8</xdr:row>
      <xdr:rowOff>1842135</xdr:rowOff>
    </xdr:to>
    <xdr:pic>
      <xdr:nvPicPr>
        <xdr:cNvPr id="3" name="ID_85D0B84419814DBFB2908831FCBE7F92"/>
        <xdr:cNvPicPr>
          <a:picLocks noChangeAspect="1"/>
        </xdr:cNvPicPr>
      </xdr:nvPicPr>
      <xdr:blipFill>
        <a:blip r:embed="rId1"/>
        <a:stretch>
          <a:fillRect/>
        </a:stretch>
      </xdr:blipFill>
      <xdr:spPr>
        <a:xfrm>
          <a:off x="4223385" y="5043805"/>
          <a:ext cx="1320165" cy="1814195"/>
        </a:xfrm>
        <a:prstGeom prst="rect">
          <a:avLst/>
        </a:prstGeom>
        <a:noFill/>
        <a:ln w="9525">
          <a:noFill/>
        </a:ln>
      </xdr:spPr>
    </xdr:pic>
    <xdr:clientData/>
  </xdr:twoCellAnchor>
  <xdr:twoCellAnchor editAs="oneCell">
    <xdr:from>
      <xdr:col>7</xdr:col>
      <xdr:colOff>507365</xdr:colOff>
      <xdr:row>8</xdr:row>
      <xdr:rowOff>27940</xdr:rowOff>
    </xdr:from>
    <xdr:to>
      <xdr:col>7</xdr:col>
      <xdr:colOff>1936115</xdr:colOff>
      <xdr:row>8</xdr:row>
      <xdr:rowOff>1842135</xdr:rowOff>
    </xdr:to>
    <xdr:pic>
      <xdr:nvPicPr>
        <xdr:cNvPr id="7" name="ID_E37BE6E44E1A4A49AE14402B89A78982"/>
        <xdr:cNvPicPr>
          <a:picLocks noChangeAspect="1"/>
        </xdr:cNvPicPr>
      </xdr:nvPicPr>
      <xdr:blipFill>
        <a:blip r:embed="rId2"/>
        <a:stretch>
          <a:fillRect/>
        </a:stretch>
      </xdr:blipFill>
      <xdr:spPr>
        <a:xfrm>
          <a:off x="8132445" y="5043805"/>
          <a:ext cx="1428750" cy="181419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Q26"/>
  <sheetViews>
    <sheetView tabSelected="1" view="pageBreakPreview" zoomScale="70" zoomScaleNormal="70" topLeftCell="A2" workbookViewId="0">
      <selection activeCell="P12" sqref="P12"/>
    </sheetView>
  </sheetViews>
  <sheetFormatPr defaultColWidth="9" defaultRowHeight="15.2"/>
  <cols>
    <col min="1" max="1" width="7.33653846153846" style="5" customWidth="1"/>
    <col min="2" max="2" width="13.6634615384615" style="5" customWidth="1"/>
    <col min="3" max="3" width="19.1057692307692" style="5" customWidth="1"/>
    <col min="4" max="4" width="18.7788461538462" style="5" customWidth="1"/>
    <col min="5" max="5" width="29.9038461538462" style="5" customWidth="1"/>
    <col min="6" max="7" width="13.3365384615385" style="5" customWidth="1"/>
    <col min="8" max="8" width="36.8653846153846" style="5" customWidth="1"/>
    <col min="9" max="9" width="16.625" style="5" customWidth="1"/>
    <col min="10" max="10" width="14.8942307692308" style="5" customWidth="1"/>
    <col min="11" max="11" width="13.7788461538462" style="5" customWidth="1"/>
    <col min="12" max="12" width="7.89423076923077" style="5" customWidth="1"/>
    <col min="13" max="13" width="16.7788461538462" style="6" customWidth="1"/>
    <col min="14" max="14" width="9.10576923076923" style="5" customWidth="1"/>
    <col min="15" max="15" width="14.5480769230769" style="5" customWidth="1"/>
    <col min="16" max="16" width="15.8942307692308" style="7" customWidth="1"/>
    <col min="17" max="17" width="7.77884615384615" style="5" customWidth="1"/>
    <col min="18" max="16384" width="9" style="5"/>
  </cols>
  <sheetData>
    <row r="1" ht="48" customHeight="1" spans="1:17">
      <c r="J1" s="8"/>
      <c r="K1" s="9"/>
      <c r="L1" s="9"/>
      <c r="M1" s="8"/>
    </row>
    <row r="2" ht="81" customHeight="1" spans="1:17">
      <c r="A2" s="10" t="s">
        <v>0</v>
      </c>
      <c r="B2" s="10"/>
      <c r="C2" s="10"/>
      <c r="D2" s="10"/>
      <c r="E2" s="10"/>
      <c r="F2" s="10"/>
      <c r="G2" s="10"/>
      <c r="H2" s="11"/>
      <c r="I2" s="11"/>
      <c r="J2" s="11"/>
      <c r="K2" s="11"/>
      <c r="L2" s="11"/>
      <c r="M2" s="11"/>
    </row>
    <row r="3" s="1" customFormat="1" ht="36.75" customHeight="1" spans="1:17">
      <c r="A3" s="12" t="s">
        <v>1</v>
      </c>
      <c r="B3" s="12"/>
      <c r="C3" s="13" t="s">
        <v>2</v>
      </c>
      <c r="D3" s="13"/>
      <c r="E3" s="14" t="s">
        <v>3</v>
      </c>
      <c r="F3" s="14"/>
      <c r="G3" s="15"/>
      <c r="H3" s="16" t="s">
        <v>4</v>
      </c>
      <c r="I3" s="17"/>
      <c r="J3" s="17"/>
      <c r="K3" s="17"/>
      <c r="L3" s="17"/>
      <c r="M3" s="18"/>
      <c r="P3" s="19"/>
    </row>
    <row r="4" s="1" customFormat="1" ht="36.75" customHeight="1" spans="1:17">
      <c r="A4" s="20" t="s">
        <v>5</v>
      </c>
      <c r="B4" s="21"/>
      <c r="C4" s="22">
        <v>46065</v>
      </c>
      <c r="D4" s="23"/>
      <c r="E4" s="23"/>
      <c r="F4" s="23"/>
      <c r="G4" s="24"/>
      <c r="H4" s="25"/>
      <c r="I4" s="2"/>
      <c r="J4" s="2"/>
      <c r="K4" s="2"/>
      <c r="L4" s="2"/>
      <c r="M4" s="26"/>
      <c r="P4" s="19"/>
    </row>
    <row r="5" s="1" customFormat="1" ht="36.75" customHeight="1" spans="1:17">
      <c r="A5" s="27" t="s">
        <v>6</v>
      </c>
      <c r="B5" s="28"/>
      <c r="C5" s="29"/>
      <c r="D5" s="30"/>
      <c r="E5" s="30"/>
      <c r="F5" s="30"/>
      <c r="G5" s="31"/>
      <c r="H5" s="25"/>
      <c r="I5" s="2"/>
      <c r="J5" s="2"/>
      <c r="K5" s="2"/>
      <c r="L5" s="2"/>
      <c r="M5" s="26"/>
      <c r="P5" s="19"/>
    </row>
    <row r="6" s="1" customFormat="1" ht="37.5" customHeight="1" spans="1:17">
      <c r="A6" s="27" t="s">
        <v>7</v>
      </c>
      <c r="B6" s="28"/>
      <c r="C6" s="13"/>
      <c r="D6" s="13"/>
      <c r="E6" s="32" t="s">
        <v>8</v>
      </c>
      <c r="F6" s="32"/>
      <c r="G6" s="33"/>
      <c r="H6" s="34"/>
      <c r="I6" s="35"/>
      <c r="J6" s="35"/>
      <c r="K6" s="35"/>
      <c r="L6" s="35"/>
      <c r="M6" s="36"/>
      <c r="P6" s="19"/>
    </row>
    <row r="7" s="1" customFormat="1" ht="80.25" customHeight="1" spans="1:17">
      <c r="A7" s="12" t="s">
        <v>9</v>
      </c>
      <c r="B7" s="12"/>
      <c r="C7" s="13" t="s">
        <v>10</v>
      </c>
      <c r="D7" s="13"/>
      <c r="E7" s="13"/>
      <c r="F7" s="13"/>
      <c r="G7" s="13"/>
      <c r="H7" s="37"/>
      <c r="I7" s="38"/>
      <c r="J7" s="38"/>
      <c r="K7" s="37"/>
      <c r="L7" s="37"/>
      <c r="M7" s="38"/>
      <c r="P7" s="19"/>
    </row>
    <row r="8" s="1" customFormat="1" ht="37.95" customHeight="1" spans="1:17">
      <c r="A8" s="39" t="s">
        <v>11</v>
      </c>
      <c r="B8" s="39" t="s">
        <v>12</v>
      </c>
      <c r="C8" s="40" t="s">
        <v>13</v>
      </c>
      <c r="D8" s="39" t="s">
        <v>14</v>
      </c>
      <c r="E8" s="39" t="s">
        <v>15</v>
      </c>
      <c r="F8" s="39" t="s">
        <v>16</v>
      </c>
      <c r="G8" s="39" t="s">
        <v>17</v>
      </c>
      <c r="H8" s="39" t="s">
        <v>18</v>
      </c>
      <c r="I8" s="39" t="s">
        <v>19</v>
      </c>
      <c r="J8" s="39" t="s">
        <v>20</v>
      </c>
      <c r="K8" s="39" t="s">
        <v>21</v>
      </c>
      <c r="L8" s="39" t="s">
        <v>22</v>
      </c>
      <c r="M8" s="41" t="s">
        <v>23</v>
      </c>
      <c r="Q8" s="19"/>
    </row>
    <row r="9" s="1" customFormat="1" ht="146" customHeight="1" spans="1:17">
      <c r="A9" s="42">
        <v>1</v>
      </c>
      <c r="B9" s="43" t="s">
        <v>24</v>
      </c>
      <c r="C9" s="44" t="s">
        <v>25</v>
      </c>
      <c r="D9" s="45" t="s">
        <v>26</v>
      </c>
      <c r="E9" s="44"/>
      <c r="F9" s="44" t="s">
        <v>27</v>
      </c>
      <c r="G9" s="46" t="s">
        <v>28</v>
      </c>
      <c r="H9" s="47"/>
      <c r="I9" s="46" t="s">
        <v>29</v>
      </c>
      <c r="J9" s="46" t="s">
        <v>30</v>
      </c>
      <c r="K9" s="46">
        <v>10010</v>
      </c>
      <c r="L9" s="46">
        <v>1</v>
      </c>
      <c r="M9" s="48">
        <f>L9*K9</f>
        <v>10010</v>
      </c>
      <c r="N9" s="1">
        <v>0.45</v>
      </c>
      <c r="O9" s="1">
        <f>M9*N9</f>
        <v>4504.5</v>
      </c>
      <c r="Q9" s="19"/>
    </row>
    <row r="10" s="2" customFormat="1" ht="34.5" customHeight="1" spans="1:17">
      <c r="A10" s="49" t="s">
        <v>31</v>
      </c>
      <c r="B10" s="49"/>
      <c r="C10" s="49"/>
      <c r="D10" s="49"/>
      <c r="E10" s="49"/>
      <c r="F10" s="49"/>
      <c r="G10" s="49"/>
      <c r="H10" s="49"/>
      <c r="I10" s="42"/>
      <c r="J10" s="42"/>
      <c r="K10" s="49"/>
      <c r="L10" s="42">
        <v>1</v>
      </c>
      <c r="M10" s="50">
        <f>SUM(M9:M9)</f>
        <v>10010</v>
      </c>
      <c r="O10" s="1"/>
      <c r="P10" s="51"/>
    </row>
    <row r="11" s="2" customFormat="1" ht="34.5" customHeight="1" spans="1:17">
      <c r="A11" s="49" t="s">
        <v>32</v>
      </c>
      <c r="B11" s="49"/>
      <c r="C11" s="49"/>
      <c r="D11" s="49"/>
      <c r="E11" s="49"/>
      <c r="F11" s="49"/>
      <c r="G11" s="49"/>
      <c r="H11" s="49"/>
      <c r="I11" s="42"/>
      <c r="J11" s="42"/>
      <c r="K11" s="49"/>
      <c r="L11" s="42" t="s">
        <v>33</v>
      </c>
      <c r="M11" s="50">
        <v>0</v>
      </c>
      <c r="N11" s="2"/>
      <c r="O11" s="52"/>
      <c r="P11" s="53"/>
    </row>
    <row r="12" s="3" customFormat="1" ht="41.25" customHeight="1" spans="1:17">
      <c r="A12" s="54" t="s">
        <v>34</v>
      </c>
      <c r="B12" s="55"/>
      <c r="C12" s="55"/>
      <c r="D12" s="55"/>
      <c r="E12" s="55"/>
      <c r="F12" s="55"/>
      <c r="G12" s="55"/>
      <c r="H12" s="55"/>
      <c r="I12" s="55"/>
      <c r="J12" s="55"/>
      <c r="K12" s="55"/>
      <c r="L12" s="56"/>
      <c r="M12" s="57">
        <v>4504</v>
      </c>
      <c r="N12" s="2"/>
      <c r="O12" s="52"/>
      <c r="P12" s="58"/>
    </row>
    <row r="13" s="3" customFormat="1" ht="41.25" customHeight="1" spans="1:17">
      <c r="A13" s="59" t="s">
        <v>35</v>
      </c>
      <c r="B13" s="60"/>
      <c r="C13" s="60"/>
      <c r="D13" s="60"/>
      <c r="E13" s="60"/>
      <c r="F13" s="60"/>
      <c r="G13" s="60"/>
      <c r="H13" s="60"/>
      <c r="I13" s="60"/>
      <c r="J13" s="60"/>
      <c r="K13" s="60"/>
      <c r="L13" s="60"/>
      <c r="M13" s="61"/>
      <c r="N13" s="2"/>
      <c r="O13" s="52"/>
      <c r="P13" s="58"/>
    </row>
    <row r="14" s="2" customFormat="1" ht="120.75" customHeight="1" spans="1:17">
      <c r="A14" s="62" t="s">
        <v>36</v>
      </c>
      <c r="B14" s="62"/>
      <c r="C14" s="63" t="s">
        <v>37</v>
      </c>
      <c r="D14" s="13"/>
      <c r="E14" s="13"/>
      <c r="F14" s="13"/>
      <c r="G14" s="13"/>
      <c r="H14" s="13"/>
      <c r="I14" s="42"/>
      <c r="J14" s="42"/>
      <c r="K14" s="13"/>
      <c r="L14" s="13"/>
      <c r="M14" s="42"/>
      <c r="P14" s="53"/>
    </row>
    <row r="15" s="2" customFormat="1" ht="164.25" customHeight="1" spans="1:17">
      <c r="A15" s="62" t="s">
        <v>38</v>
      </c>
      <c r="B15" s="62"/>
      <c r="C15" s="13" t="s">
        <v>39</v>
      </c>
      <c r="D15" s="13"/>
      <c r="E15" s="13"/>
      <c r="F15" s="13"/>
      <c r="G15" s="13"/>
      <c r="H15" s="13"/>
      <c r="I15" s="42"/>
      <c r="J15" s="42"/>
      <c r="K15" s="13"/>
      <c r="L15" s="13"/>
      <c r="M15" s="42"/>
      <c r="P15" s="53"/>
    </row>
    <row r="16" s="4" customFormat="1" ht="95.25" customHeight="1" spans="1:17">
      <c r="A16" s="5"/>
      <c r="B16" s="5"/>
      <c r="C16" s="5"/>
      <c r="G16" s="5"/>
      <c r="H16" s="5"/>
      <c r="I16" s="5"/>
      <c r="J16" s="5"/>
      <c r="K16" s="5"/>
      <c r="L16" s="5"/>
      <c r="M16" s="6"/>
      <c r="P16" s="64"/>
    </row>
    <row r="17" s="4" customFormat="1" ht="95.25" customHeight="1" spans="1:16">
      <c r="A17" s="5"/>
      <c r="B17" s="5"/>
      <c r="C17" s="5"/>
      <c r="D17" s="5"/>
      <c r="E17" s="5"/>
      <c r="F17" s="5"/>
      <c r="G17" s="5"/>
      <c r="H17" s="5"/>
      <c r="I17" s="5"/>
      <c r="J17" s="5"/>
      <c r="K17" s="5"/>
      <c r="L17" s="5"/>
      <c r="M17" s="6"/>
      <c r="P17" s="64"/>
    </row>
    <row r="18" s="4" customFormat="1" ht="95.25" customHeight="1" spans="1:16">
      <c r="A18" s="5"/>
      <c r="B18" s="5"/>
      <c r="C18" s="5"/>
      <c r="D18" s="5"/>
      <c r="E18" s="5"/>
      <c r="F18" s="5"/>
      <c r="G18" s="5"/>
      <c r="H18" s="5"/>
      <c r="I18" s="5"/>
      <c r="J18" s="5"/>
      <c r="K18" s="5"/>
      <c r="L18" s="5"/>
      <c r="M18" s="6"/>
      <c r="P18" s="64"/>
    </row>
    <row r="19" s="4" customFormat="1" ht="95.25" customHeight="1" spans="1:16">
      <c r="A19" s="5"/>
      <c r="B19" s="5"/>
      <c r="C19" s="5"/>
      <c r="D19" s="5"/>
      <c r="I19" s="5"/>
      <c r="J19" s="5"/>
      <c r="K19" s="5"/>
      <c r="L19" s="5"/>
      <c r="M19" s="6"/>
      <c r="P19" s="64"/>
    </row>
    <row r="20" s="4" customFormat="1" ht="27" customHeight="1" spans="1:16">
      <c r="A20" s="5"/>
      <c r="B20" s="5"/>
      <c r="C20" s="5"/>
      <c r="D20" s="5"/>
      <c r="E20" s="5"/>
      <c r="F20" s="5"/>
      <c r="G20" s="5"/>
      <c r="H20" s="5"/>
      <c r="I20" s="5"/>
      <c r="J20" s="5"/>
      <c r="K20" s="5"/>
      <c r="L20" s="5"/>
      <c r="M20" s="6"/>
      <c r="P20" s="64"/>
    </row>
    <row r="21" s="4" customFormat="1" ht="27" customHeight="1" spans="1:16">
      <c r="A21" s="5"/>
      <c r="B21" s="5"/>
      <c r="C21" s="5"/>
      <c r="D21" s="5"/>
      <c r="E21" s="5"/>
      <c r="F21" s="5"/>
      <c r="G21" s="5"/>
      <c r="H21" s="5"/>
      <c r="I21" s="5"/>
      <c r="J21" s="5"/>
      <c r="K21" s="5"/>
      <c r="L21" s="5"/>
      <c r="M21" s="6"/>
      <c r="P21" s="64"/>
    </row>
    <row r="22" s="4" customFormat="1" ht="19.2" customHeight="1" spans="1:16">
      <c r="A22" s="5"/>
      <c r="B22" s="5"/>
      <c r="C22" s="5"/>
      <c r="D22" s="5"/>
      <c r="E22" s="5"/>
      <c r="F22" s="5"/>
      <c r="G22" s="5"/>
      <c r="H22" s="5"/>
      <c r="I22" s="5"/>
      <c r="J22" s="5"/>
      <c r="K22" s="5"/>
      <c r="L22" s="5"/>
      <c r="M22" s="6"/>
      <c r="P22" s="64"/>
    </row>
    <row r="23" ht="27" customHeight="1"/>
    <row r="24" ht="69" customHeight="1"/>
    <row r="25" ht="53.25" customHeight="1"/>
    <row r="26" ht="30.75" customHeight="1"/>
  </sheetData>
  <mergeCells count="24">
    <mergeCell ref="A1:D1"/>
    <mergeCell ref="J1:M1"/>
    <mergeCell ref="A2:M2"/>
    <mergeCell ref="A3:B3"/>
    <mergeCell ref="C3:D3"/>
    <mergeCell ref="E3:G3"/>
    <mergeCell ref="A4:B4"/>
    <mergeCell ref="C4:G4"/>
    <mergeCell ref="A5:B5"/>
    <mergeCell ref="C5:G5"/>
    <mergeCell ref="A6:B6"/>
    <mergeCell ref="C6:D6"/>
    <mergeCell ref="E6:G6"/>
    <mergeCell ref="A7:B7"/>
    <mergeCell ref="C7:M7"/>
    <mergeCell ref="A10:K10"/>
    <mergeCell ref="A11:K11"/>
    <mergeCell ref="A12:L12"/>
    <mergeCell ref="A13:M13"/>
    <mergeCell ref="A14:B14"/>
    <mergeCell ref="C14:M14"/>
    <mergeCell ref="A15:B15"/>
    <mergeCell ref="C15:M15"/>
    <mergeCell ref="I3:M6"/>
  </mergeCells>
  <pageMargins left="0.26" right="0.23" top="0.5" bottom="0.511811023622047" header="0.708661417322835" footer="0.31496062992126"/>
  <pageSetup paperSize="9" scale="48" fitToHeight="0" orientation="portrait"/>
  <headerFooter>
    <oddFooter>&amp;C第 &amp;P 页，共 &amp;N 页</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lulu</dc:creator>
  <cp:lastModifiedBy>冯爽</cp:lastModifiedBy>
  <dcterms:created xsi:type="dcterms:W3CDTF">2017-07-17T06:16:00Z</dcterms:created>
  <cp:lastPrinted>2023-08-12T23:37:00Z</cp:lastPrinted>
  <dcterms:modified xsi:type="dcterms:W3CDTF">2026-02-12T11:09:39Z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9C8EED7D223F4B0A91F7330AAADD83BD_13</vt:lpwstr>
  </property>
  <property fmtid="{D5CDD505-2E9C-101B-9397-08002B2CF9AE}" pid="4" name="CalculationRule">
    <vt:i4>0</vt:i4>
  </property>
</Properties>
</file>